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_Responses" sheetId="1" r:id="rId5"/>
    <sheet state="visible" name="DB_Giocatori" sheetId="2" r:id="rId6"/>
    <sheet state="visible" name="DB_POR" sheetId="3" r:id="rId7"/>
    <sheet state="visible" name="DB_DIF" sheetId="4" r:id="rId8"/>
    <sheet state="visible" name="DB_CC" sheetId="5" r:id="rId9"/>
    <sheet state="visible" name="DB_ATT" sheetId="6" r:id="rId10"/>
    <sheet state="visible" name="Input_Voti" sheetId="7" r:id="rId11"/>
    <sheet state="visible" name="Classifica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L'utente ha modificato questo valore.</t>
      </text>
    </comment>
    <comment authorId="0" ref="D2">
      <text>
        <t xml:space="preserve">L'utente ha modificato questo valore.</t>
      </text>
    </comment>
    <comment authorId="0" ref="E2">
      <text>
        <t xml:space="preserve">L'utente ha modificato questo valore.</t>
      </text>
    </comment>
    <comment authorId="0" ref="F2">
      <text>
        <t xml:space="preserve">L'utente ha modificato questo valore.</t>
      </text>
    </comment>
    <comment authorId="0" ref="G2">
      <text>
        <t xml:space="preserve">L'utente ha modificato questo valore.</t>
      </text>
    </comment>
    <comment authorId="0" ref="H2">
      <text>
        <t xml:space="preserve">L'utente ha modificato questo valore.</t>
      </text>
    </comment>
    <comment authorId="0" ref="I2">
      <text>
        <t xml:space="preserve">L'utente ha modificato questo valore.</t>
      </text>
    </comment>
    <comment authorId="0" ref="J2">
      <text>
        <t xml:space="preserve">L'utente ha modificato questo valore.</t>
      </text>
    </comment>
    <comment authorId="0" ref="C3">
      <text>
        <t xml:space="preserve">L'utente ha modificato questo valore.</t>
      </text>
    </comment>
    <comment authorId="0" ref="D3">
      <text>
        <t xml:space="preserve">L'utente ha modificato questo valore.</t>
      </text>
    </comment>
    <comment authorId="0" ref="E3">
      <text>
        <t xml:space="preserve">L'utente ha modificato questo valore.</t>
      </text>
    </comment>
    <comment authorId="0" ref="F3">
      <text>
        <t xml:space="preserve">L'utente ha modificato questo valore.</t>
      </text>
    </comment>
    <comment authorId="0" ref="G3">
      <text>
        <t xml:space="preserve">L'utente ha modificato questo valore.</t>
      </text>
    </comment>
    <comment authorId="0" ref="H3">
      <text>
        <t xml:space="preserve">L'utente ha modificato questo valore.</t>
      </text>
    </comment>
    <comment authorId="0" ref="I3">
      <text>
        <t xml:space="preserve">L'utente ha modificato questo valore.</t>
      </text>
    </comment>
    <comment authorId="0" ref="J3">
      <text>
        <t xml:space="preserve">L'utente ha modificato questo valore.</t>
      </text>
    </comment>
  </commentList>
</comments>
</file>

<file path=xl/sharedStrings.xml><?xml version="1.0" encoding="utf-8"?>
<sst xmlns="http://schemas.openxmlformats.org/spreadsheetml/2006/main" count="202" uniqueCount="94">
  <si>
    <t>Informazioni cronologiche</t>
  </si>
  <si>
    <t>Indirizzo email</t>
  </si>
  <si>
    <t>Nome</t>
  </si>
  <si>
    <t>Cognome</t>
  </si>
  <si>
    <t>Stanza</t>
  </si>
  <si>
    <t>Scelta Portiere</t>
  </si>
  <si>
    <t>Scelta Difensori</t>
  </si>
  <si>
    <t>Scelta Centrocampisti</t>
  </si>
  <si>
    <t>Scelta Attaccante</t>
  </si>
  <si>
    <t>Nickname Squadra</t>
  </si>
  <si>
    <t>Nome_Giocatore</t>
  </si>
  <si>
    <t>Ruolo</t>
  </si>
  <si>
    <t>Squadra</t>
  </si>
  <si>
    <t>Costo</t>
  </si>
  <si>
    <t>Matia Shehu</t>
  </si>
  <si>
    <t>Portiere</t>
  </si>
  <si>
    <t>Trogloditi</t>
  </si>
  <si>
    <t>Luca Padovano</t>
  </si>
  <si>
    <t>Difensore</t>
  </si>
  <si>
    <t>Stefano Vidali</t>
  </si>
  <si>
    <t>Andrea Capuzzolo</t>
  </si>
  <si>
    <t>Francesco Albanese</t>
  </si>
  <si>
    <t>Gianluca Chiappinelli</t>
  </si>
  <si>
    <t>Centrocampista</t>
  </si>
  <si>
    <t>Francesco Santamaria</t>
  </si>
  <si>
    <t>Raffaele Guerra</t>
  </si>
  <si>
    <t>Attaccante</t>
  </si>
  <si>
    <t>Marco Amodio</t>
  </si>
  <si>
    <t>Mattia Mavelli</t>
  </si>
  <si>
    <t>Pierluigi De Marco</t>
  </si>
  <si>
    <t>Wild Boys</t>
  </si>
  <si>
    <t>Andrea Fundone</t>
  </si>
  <si>
    <t>Michele Scoppio</t>
  </si>
  <si>
    <t>Luigi Vaira</t>
  </si>
  <si>
    <t>Fabrizio Lorini</t>
  </si>
  <si>
    <t>Alessandro del Giudice</t>
  </si>
  <si>
    <t>Lorenzo Milfa</t>
  </si>
  <si>
    <t>Domenico Jr. Centrone</t>
  </si>
  <si>
    <t>Carlo Basile</t>
  </si>
  <si>
    <t>Lorenzo Gentile</t>
  </si>
  <si>
    <t>Vincenzo Russo</t>
  </si>
  <si>
    <t>Real MyDrip</t>
  </si>
  <si>
    <t>Marco Accetta</t>
  </si>
  <si>
    <t>Stefano Di Lena</t>
  </si>
  <si>
    <t>Mario Mezzina</t>
  </si>
  <si>
    <t>Alessandro Solazzo</t>
  </si>
  <si>
    <t>Giovanni Meuli</t>
  </si>
  <si>
    <t>Manuel Flores</t>
  </si>
  <si>
    <t>Mauro Origlia</t>
  </si>
  <si>
    <t>Luigi Daniele Barbone</t>
  </si>
  <si>
    <t>Alessandro Guerra</t>
  </si>
  <si>
    <t>Imperial Seven</t>
  </si>
  <si>
    <t>Mario Rizzo</t>
  </si>
  <si>
    <t>Fabiano Tafaro</t>
  </si>
  <si>
    <t>Gabriele Ferrandino</t>
  </si>
  <si>
    <t>Antonio Iasiello</t>
  </si>
  <si>
    <t>Matteo Sembenini</t>
  </si>
  <si>
    <t>Flavio Carbone</t>
  </si>
  <si>
    <t>Antonio Fuzio</t>
  </si>
  <si>
    <t>JJ Zigrino</t>
  </si>
  <si>
    <t>Gabriele Maci</t>
  </si>
  <si>
    <t>Marlboro Goal</t>
  </si>
  <si>
    <t>Gianluca Audiello</t>
  </si>
  <si>
    <t>Cataldo Sapio</t>
  </si>
  <si>
    <t>Giuseppe Pepe</t>
  </si>
  <si>
    <t>Marco Montrano</t>
  </si>
  <si>
    <t>Riccardo Roscica</t>
  </si>
  <si>
    <t>Adriano Pio Darcangelo</t>
  </si>
  <si>
    <t>Cosimo D'Onghia</t>
  </si>
  <si>
    <t>Michele Ventola</t>
  </si>
  <si>
    <t>Pasquale Iannelli</t>
  </si>
  <si>
    <t>Sangu FC</t>
  </si>
  <si>
    <t>Giovanni Corso</t>
  </si>
  <si>
    <t>Matteo Daniele</t>
  </si>
  <si>
    <t>Gabriele Pedacchio</t>
  </si>
  <si>
    <t>Gerardo Valerio Teutonico</t>
  </si>
  <si>
    <t>Daniel Sandu</t>
  </si>
  <si>
    <t>Mattia Ieva</t>
  </si>
  <si>
    <t>Dylan Todisco</t>
  </si>
  <si>
    <t>Angelo Anatilopan</t>
  </si>
  <si>
    <t>Mattia Pandolfi</t>
  </si>
  <si>
    <t>Nome Giocatore</t>
  </si>
  <si>
    <t>Goal_Fatto</t>
  </si>
  <si>
    <t>Goal_Subito</t>
  </si>
  <si>
    <t>Falli</t>
  </si>
  <si>
    <t>Giallo</t>
  </si>
  <si>
    <t>Rosso</t>
  </si>
  <si>
    <t>Squadra_Vince</t>
  </si>
  <si>
    <t>Squadra_Perde</t>
  </si>
  <si>
    <t>Porta_Inviolata</t>
  </si>
  <si>
    <t>MVP</t>
  </si>
  <si>
    <t>Rigore_Parato</t>
  </si>
  <si>
    <t>Rigore_Sbagliato</t>
  </si>
  <si>
    <t>Autogoal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</si>
</sst>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Roboto"/>
    </font>
    <font>
      <color rgb="FF434343"/>
      <name val="Roboto"/>
    </font>
    <font>
      <b/>
      <color theme="1"/>
      <name val="&quot;Google Sans Text&quot;"/>
    </font>
    <font>
      <color rgb="FF1B1C1D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bottom style="thin">
        <color rgb="FFFFFFFF"/>
      </bottom>
    </border>
    <border>
      <left style="thin">
        <color rgb="FF3E4791"/>
      </left>
      <top style="thin">
        <color rgb="FFF6F8F9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7" fontId="3" numFmtId="0" xfId="0" applyAlignment="1" applyFill="1" applyFont="1">
      <alignment horizontal="center" readingOrder="0"/>
    </xf>
    <xf borderId="0" fillId="7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7" fontId="3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3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4" fontId="1" numFmtId="0" xfId="0" applyAlignment="1" applyFont="1">
      <alignment shrinkToFit="0" vertical="center" wrapText="0"/>
    </xf>
    <xf borderId="0" fillId="5" fontId="1" numFmtId="0" xfId="0" applyAlignment="1" applyFont="1">
      <alignment shrinkToFit="0" vertical="center" wrapText="0"/>
    </xf>
    <xf borderId="0" fillId="8" fontId="1" numFmtId="0" xfId="0" applyAlignment="1" applyFill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4" pivot="0" name="Form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B_Giocatori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2" pivot="0" name="DB_DIF-style">
      <tableStyleElement dxfId="6" type="firstRowStripe"/>
      <tableStyleElement dxfId="2" type="secondRowStripe"/>
    </tableStyle>
    <tableStyle count="4" pivot="0" name="Input_Voti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" displayName="Form_Responses" name="Form_Responses" id="1">
  <tableColumns count="10">
    <tableColumn name="Informazioni cronologiche" id="1"/>
    <tableColumn name="Indirizzo email" id="2"/>
    <tableColumn name="Nome" id="3"/>
    <tableColumn name="Cognome" id="4"/>
    <tableColumn name="Stanza" id="5"/>
    <tableColumn name="Scelta Portiere" id="6"/>
    <tableColumn name="Scelta Difensori" id="7"/>
    <tableColumn name="Scelta Centrocampisti" id="8"/>
    <tableColumn name="Scelta Attaccante" id="9"/>
    <tableColumn name="Nickname Squadra" id="10"/>
  </tableColumns>
  <tableStyleInfo name="Form_Responses-style" showColumnStripes="0" showFirstColumn="1" showLastColumn="1" showRowStripes="1"/>
</table>
</file>

<file path=xl/tables/table2.xml><?xml version="1.0" encoding="utf-8"?>
<table xmlns="http://schemas.openxmlformats.org/spreadsheetml/2006/main" ref="A1:D58" displayName="DataBase" name="DataBase" id="2">
  <tableColumns count="4">
    <tableColumn name="Nome_Giocatore" id="1"/>
    <tableColumn name="Ruolo" id="2"/>
    <tableColumn name="Squadra" id="3"/>
    <tableColumn name="Costo" id="4"/>
  </tableColumns>
  <tableStyleInfo name="DB_Giocatori-style" showColumnStripes="0" showFirstColumn="1" showLastColumn="1" showRowStripes="1"/>
</table>
</file>

<file path=xl/tables/table3.xml><?xml version="1.0" encoding="utf-8"?>
<table xmlns="http://schemas.openxmlformats.org/spreadsheetml/2006/main" headerRowCount="0" ref="A2:B7" displayName="Table_1" name="Table_1" id="3">
  <tableColumns count="2">
    <tableColumn name="Column1" id="1"/>
    <tableColumn name="Column2" id="2"/>
  </tableColumns>
  <tableStyleInfo name="DB_DIF-style" showColumnStripes="0" showFirstColumn="1" showLastColumn="1" showRowStripes="1"/>
</table>
</file>

<file path=xl/tables/table4.xml><?xml version="1.0" encoding="utf-8"?>
<table xmlns="http://schemas.openxmlformats.org/spreadsheetml/2006/main" ref="A1:M58" displayName="InputVoti" name="InputVoti" id="4">
  <tableColumns count="13">
    <tableColumn name="Nome_Giocatore" id="1"/>
    <tableColumn name="Goal_Fatto" id="2"/>
    <tableColumn name="Goal_Subito" id="3"/>
    <tableColumn name="Falli" id="4"/>
    <tableColumn name="Giallo" id="5"/>
    <tableColumn name="Rosso" id="6"/>
    <tableColumn name="Squadra_Vince" id="7"/>
    <tableColumn name="Squadra_Perde" id="8"/>
    <tableColumn name="Porta_Inviolata" id="9"/>
    <tableColumn name="MVP" id="10"/>
    <tableColumn name="Rigore_Parato" id="11"/>
    <tableColumn name="Rigore_Sbagliato" id="12"/>
    <tableColumn name="Autogoal" id="13"/>
  </tableColumns>
  <tableStyleInfo name="Input_Vot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6" width="18.88"/>
    <col customWidth="1" min="7" max="7" width="32.75"/>
    <col customWidth="1" min="8" max="8" width="21.38"/>
    <col customWidth="1" min="9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/>
      <c r="B2" s="5"/>
      <c r="C2" s="5"/>
      <c r="D2" s="5"/>
      <c r="E2" s="5"/>
      <c r="F2" s="5"/>
      <c r="G2" s="5"/>
      <c r="H2" s="5"/>
      <c r="I2" s="5"/>
      <c r="J2" s="5"/>
    </row>
    <row r="3" ht="22.5" customHeight="1">
      <c r="A3" s="6"/>
      <c r="C3" s="7"/>
      <c r="D3" s="7"/>
      <c r="E3" s="7"/>
      <c r="F3" s="7"/>
      <c r="G3" s="7"/>
      <c r="H3" s="7"/>
      <c r="I3" s="7"/>
      <c r="J3" s="7"/>
    </row>
    <row r="4" ht="22.5" customHeight="1">
      <c r="A4" s="6"/>
    </row>
    <row r="5" ht="22.5" customHeight="1">
      <c r="A5" s="6"/>
    </row>
    <row r="6" ht="22.5" customHeight="1">
      <c r="A6" s="6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7.75"/>
    <col customWidth="1" min="3" max="3" width="15.0"/>
    <col customWidth="1" min="4" max="4" width="21.5"/>
    <col customWidth="1" min="5" max="5" width="15.25"/>
    <col customWidth="1" min="6" max="6" width="24.5"/>
    <col customWidth="1" min="7" max="7" width="22.5"/>
    <col customWidth="1" min="8" max="8" width="18.5"/>
    <col customWidth="1" min="9" max="9" width="10.5"/>
  </cols>
  <sheetData>
    <row r="1" ht="22.5" customHeight="1">
      <c r="A1" s="8" t="s">
        <v>10</v>
      </c>
      <c r="B1" s="8" t="s">
        <v>11</v>
      </c>
      <c r="C1" s="8" t="s">
        <v>12</v>
      </c>
      <c r="D1" s="8" t="s">
        <v>13</v>
      </c>
    </row>
    <row r="2" ht="22.5" customHeight="1">
      <c r="A2" s="9" t="s">
        <v>14</v>
      </c>
      <c r="B2" s="10" t="s">
        <v>15</v>
      </c>
      <c r="C2" s="10" t="s">
        <v>16</v>
      </c>
      <c r="D2" s="11">
        <v>5.0</v>
      </c>
    </row>
    <row r="3" ht="22.5" customHeight="1">
      <c r="A3" s="12" t="s">
        <v>17</v>
      </c>
      <c r="B3" s="13" t="s">
        <v>18</v>
      </c>
      <c r="C3" s="13" t="s">
        <v>16</v>
      </c>
      <c r="D3" s="14">
        <v>10.0</v>
      </c>
    </row>
    <row r="4" ht="22.5" customHeight="1">
      <c r="A4" s="12" t="s">
        <v>19</v>
      </c>
      <c r="B4" s="13" t="s">
        <v>18</v>
      </c>
      <c r="C4" s="13" t="s">
        <v>16</v>
      </c>
      <c r="D4" s="14">
        <v>10.0</v>
      </c>
    </row>
    <row r="5" ht="22.5" customHeight="1">
      <c r="A5" s="12" t="s">
        <v>20</v>
      </c>
      <c r="B5" s="13" t="s">
        <v>18</v>
      </c>
      <c r="C5" s="13" t="s">
        <v>16</v>
      </c>
      <c r="D5" s="14">
        <v>10.0</v>
      </c>
    </row>
    <row r="6" ht="22.5" customHeight="1">
      <c r="A6" s="12" t="s">
        <v>21</v>
      </c>
      <c r="B6" s="13" t="s">
        <v>18</v>
      </c>
      <c r="C6" s="13" t="s">
        <v>16</v>
      </c>
      <c r="D6" s="14">
        <v>10.0</v>
      </c>
    </row>
    <row r="7" ht="22.5" customHeight="1">
      <c r="A7" s="12" t="s">
        <v>22</v>
      </c>
      <c r="B7" s="13" t="s">
        <v>23</v>
      </c>
      <c r="C7" s="13" t="s">
        <v>16</v>
      </c>
      <c r="D7" s="14">
        <v>25.0</v>
      </c>
    </row>
    <row r="8" ht="22.5" customHeight="1">
      <c r="A8" s="12" t="s">
        <v>24</v>
      </c>
      <c r="B8" s="13" t="s">
        <v>23</v>
      </c>
      <c r="C8" s="13" t="s">
        <v>16</v>
      </c>
      <c r="D8" s="14">
        <v>19.0</v>
      </c>
    </row>
    <row r="9" ht="22.5" customHeight="1">
      <c r="A9" s="12" t="s">
        <v>25</v>
      </c>
      <c r="B9" s="13" t="s">
        <v>26</v>
      </c>
      <c r="C9" s="13" t="s">
        <v>16</v>
      </c>
      <c r="D9" s="14">
        <v>21.0</v>
      </c>
    </row>
    <row r="10" ht="22.5" customHeight="1">
      <c r="A10" s="12" t="s">
        <v>27</v>
      </c>
      <c r="B10" s="13" t="s">
        <v>23</v>
      </c>
      <c r="C10" s="13" t="s">
        <v>16</v>
      </c>
      <c r="D10" s="14">
        <v>16.0</v>
      </c>
    </row>
    <row r="11" ht="22.5" customHeight="1">
      <c r="A11" s="12" t="s">
        <v>28</v>
      </c>
      <c r="B11" s="13" t="s">
        <v>26</v>
      </c>
      <c r="C11" s="13" t="s">
        <v>16</v>
      </c>
      <c r="D11" s="14">
        <v>15.0</v>
      </c>
    </row>
    <row r="12" ht="22.5" customHeight="1">
      <c r="A12" s="15" t="s">
        <v>29</v>
      </c>
      <c r="B12" s="16" t="s">
        <v>15</v>
      </c>
      <c r="C12" s="17" t="s">
        <v>30</v>
      </c>
      <c r="D12" s="18">
        <v>9.0</v>
      </c>
    </row>
    <row r="13" ht="22.5" customHeight="1">
      <c r="A13" s="19" t="s">
        <v>31</v>
      </c>
      <c r="B13" s="20" t="s">
        <v>18</v>
      </c>
      <c r="C13" s="20" t="s">
        <v>30</v>
      </c>
      <c r="D13" s="21">
        <v>12.0</v>
      </c>
    </row>
    <row r="14" ht="22.5" customHeight="1">
      <c r="A14" s="19" t="s">
        <v>32</v>
      </c>
      <c r="B14" s="20" t="s">
        <v>18</v>
      </c>
      <c r="C14" s="20" t="s">
        <v>30</v>
      </c>
      <c r="D14" s="21">
        <v>5.0</v>
      </c>
    </row>
    <row r="15" ht="22.5" customHeight="1">
      <c r="A15" s="19" t="s">
        <v>33</v>
      </c>
      <c r="B15" s="20" t="s">
        <v>18</v>
      </c>
      <c r="C15" s="20" t="s">
        <v>30</v>
      </c>
      <c r="D15" s="21">
        <v>5.0</v>
      </c>
    </row>
    <row r="16" ht="22.5" customHeight="1">
      <c r="A16" s="19" t="s">
        <v>34</v>
      </c>
      <c r="B16" s="20" t="s">
        <v>18</v>
      </c>
      <c r="C16" s="20" t="s">
        <v>30</v>
      </c>
      <c r="D16" s="21">
        <v>6.0</v>
      </c>
    </row>
    <row r="17" ht="22.5" customHeight="1">
      <c r="A17" s="19" t="s">
        <v>35</v>
      </c>
      <c r="B17" s="20" t="s">
        <v>23</v>
      </c>
      <c r="C17" s="20" t="s">
        <v>30</v>
      </c>
      <c r="D17" s="21">
        <v>15.0</v>
      </c>
    </row>
    <row r="18" ht="22.5" customHeight="1">
      <c r="A18" s="19" t="s">
        <v>36</v>
      </c>
      <c r="B18" s="20" t="s">
        <v>23</v>
      </c>
      <c r="C18" s="20" t="s">
        <v>30</v>
      </c>
      <c r="D18" s="21">
        <v>26.0</v>
      </c>
    </row>
    <row r="19" ht="22.5" customHeight="1">
      <c r="A19" s="19" t="s">
        <v>37</v>
      </c>
      <c r="B19" s="20" t="s">
        <v>23</v>
      </c>
      <c r="C19" s="20" t="s">
        <v>30</v>
      </c>
      <c r="D19" s="21">
        <v>22.0</v>
      </c>
    </row>
    <row r="20" ht="22.5" customHeight="1">
      <c r="A20" s="19" t="s">
        <v>38</v>
      </c>
      <c r="B20" s="20" t="s">
        <v>26</v>
      </c>
      <c r="C20" s="20" t="s">
        <v>30</v>
      </c>
      <c r="D20" s="21">
        <v>10.0</v>
      </c>
    </row>
    <row r="21" ht="22.5" customHeight="1">
      <c r="A21" s="19" t="s">
        <v>39</v>
      </c>
      <c r="B21" s="20" t="s">
        <v>26</v>
      </c>
      <c r="C21" s="20" t="s">
        <v>30</v>
      </c>
      <c r="D21" s="21">
        <v>35.0</v>
      </c>
    </row>
    <row r="22" ht="22.5" customHeight="1">
      <c r="A22" s="22" t="s">
        <v>40</v>
      </c>
      <c r="B22" s="23" t="s">
        <v>15</v>
      </c>
      <c r="C22" s="23" t="s">
        <v>41</v>
      </c>
      <c r="D22" s="24">
        <v>13.0</v>
      </c>
    </row>
    <row r="23" ht="22.5" customHeight="1">
      <c r="A23" s="25" t="s">
        <v>42</v>
      </c>
      <c r="B23" s="26" t="s">
        <v>18</v>
      </c>
      <c r="C23" s="26" t="s">
        <v>41</v>
      </c>
      <c r="D23" s="27">
        <v>16.0</v>
      </c>
    </row>
    <row r="24" ht="22.5" customHeight="1">
      <c r="A24" s="22" t="s">
        <v>43</v>
      </c>
      <c r="B24" s="23" t="s">
        <v>18</v>
      </c>
      <c r="C24" s="23" t="s">
        <v>41</v>
      </c>
      <c r="D24" s="24">
        <v>5.0</v>
      </c>
    </row>
    <row r="25" ht="22.5" customHeight="1">
      <c r="A25" s="25" t="s">
        <v>44</v>
      </c>
      <c r="B25" s="26" t="s">
        <v>18</v>
      </c>
      <c r="C25" s="26" t="s">
        <v>41</v>
      </c>
      <c r="D25" s="27">
        <v>7.0</v>
      </c>
    </row>
    <row r="26" ht="22.5" customHeight="1">
      <c r="A26" s="25" t="s">
        <v>45</v>
      </c>
      <c r="B26" s="26" t="s">
        <v>23</v>
      </c>
      <c r="C26" s="26" t="s">
        <v>41</v>
      </c>
      <c r="D26" s="27">
        <v>24.0</v>
      </c>
    </row>
    <row r="27" ht="22.5" customHeight="1">
      <c r="A27" s="25" t="s">
        <v>46</v>
      </c>
      <c r="B27" s="26" t="s">
        <v>23</v>
      </c>
      <c r="C27" s="26" t="s">
        <v>41</v>
      </c>
      <c r="D27" s="27">
        <v>16.0</v>
      </c>
    </row>
    <row r="28" ht="22.5" customHeight="1">
      <c r="A28" s="25" t="s">
        <v>47</v>
      </c>
      <c r="B28" s="26" t="s">
        <v>26</v>
      </c>
      <c r="C28" s="26" t="s">
        <v>41</v>
      </c>
      <c r="D28" s="27">
        <v>30.0</v>
      </c>
    </row>
    <row r="29" ht="22.5" customHeight="1">
      <c r="A29" s="25" t="s">
        <v>48</v>
      </c>
      <c r="B29" s="26" t="s">
        <v>26</v>
      </c>
      <c r="C29" s="26" t="s">
        <v>41</v>
      </c>
      <c r="D29" s="27">
        <v>10.0</v>
      </c>
    </row>
    <row r="30" ht="22.5" customHeight="1">
      <c r="A30" s="25" t="s">
        <v>49</v>
      </c>
      <c r="B30" s="26" t="s">
        <v>18</v>
      </c>
      <c r="C30" s="26" t="s">
        <v>41</v>
      </c>
      <c r="D30" s="27">
        <v>10.0</v>
      </c>
    </row>
    <row r="31" ht="22.5" customHeight="1">
      <c r="A31" s="28" t="s">
        <v>50</v>
      </c>
      <c r="B31" s="29" t="s">
        <v>15</v>
      </c>
      <c r="C31" s="29" t="s">
        <v>51</v>
      </c>
      <c r="D31" s="30">
        <v>10.0</v>
      </c>
    </row>
    <row r="32" ht="22.5" customHeight="1">
      <c r="A32" s="31" t="s">
        <v>52</v>
      </c>
      <c r="B32" s="32" t="s">
        <v>18</v>
      </c>
      <c r="C32" s="32" t="s">
        <v>51</v>
      </c>
      <c r="D32" s="33">
        <v>15.0</v>
      </c>
    </row>
    <row r="33" ht="22.5" customHeight="1">
      <c r="A33" s="31" t="s">
        <v>53</v>
      </c>
      <c r="B33" s="32" t="s">
        <v>18</v>
      </c>
      <c r="C33" s="32" t="s">
        <v>51</v>
      </c>
      <c r="D33" s="33">
        <v>15.0</v>
      </c>
    </row>
    <row r="34" ht="22.5" customHeight="1">
      <c r="A34" s="31" t="s">
        <v>54</v>
      </c>
      <c r="B34" s="32" t="s">
        <v>18</v>
      </c>
      <c r="C34" s="32" t="s">
        <v>51</v>
      </c>
      <c r="D34" s="33">
        <v>20.0</v>
      </c>
    </row>
    <row r="35" ht="22.5" customHeight="1">
      <c r="A35" s="31" t="s">
        <v>55</v>
      </c>
      <c r="B35" s="32" t="s">
        <v>23</v>
      </c>
      <c r="C35" s="32" t="s">
        <v>51</v>
      </c>
      <c r="D35" s="33">
        <v>16.0</v>
      </c>
    </row>
    <row r="36" ht="22.5" customHeight="1">
      <c r="A36" s="31" t="s">
        <v>56</v>
      </c>
      <c r="B36" s="32" t="s">
        <v>23</v>
      </c>
      <c r="C36" s="32" t="s">
        <v>51</v>
      </c>
      <c r="D36" s="33">
        <v>10.0</v>
      </c>
    </row>
    <row r="37" ht="22.5" customHeight="1">
      <c r="A37" s="31" t="s">
        <v>57</v>
      </c>
      <c r="B37" s="32" t="s">
        <v>26</v>
      </c>
      <c r="C37" s="32" t="s">
        <v>51</v>
      </c>
      <c r="D37" s="33">
        <v>27.0</v>
      </c>
    </row>
    <row r="38" ht="22.5" customHeight="1">
      <c r="A38" s="31" t="s">
        <v>58</v>
      </c>
      <c r="B38" s="32" t="s">
        <v>26</v>
      </c>
      <c r="C38" s="32" t="s">
        <v>51</v>
      </c>
      <c r="D38" s="33">
        <v>19.0</v>
      </c>
    </row>
    <row r="39" ht="22.5" customHeight="1">
      <c r="A39" s="31" t="s">
        <v>59</v>
      </c>
      <c r="B39" s="32" t="s">
        <v>23</v>
      </c>
      <c r="C39" s="32" t="s">
        <v>51</v>
      </c>
      <c r="D39" s="33">
        <v>25.0</v>
      </c>
    </row>
    <row r="40" ht="22.5" customHeight="1">
      <c r="A40" s="34" t="s">
        <v>60</v>
      </c>
      <c r="B40" s="35" t="s">
        <v>15</v>
      </c>
      <c r="C40" s="35" t="s">
        <v>61</v>
      </c>
      <c r="D40" s="36">
        <v>12.0</v>
      </c>
    </row>
    <row r="41" ht="22.5" customHeight="1">
      <c r="A41" s="34" t="s">
        <v>62</v>
      </c>
      <c r="B41" s="35" t="s">
        <v>18</v>
      </c>
      <c r="C41" s="35" t="s">
        <v>61</v>
      </c>
      <c r="D41" s="36">
        <v>5.0</v>
      </c>
    </row>
    <row r="42" ht="22.5" customHeight="1">
      <c r="A42" s="37" t="s">
        <v>63</v>
      </c>
      <c r="B42" s="38" t="s">
        <v>18</v>
      </c>
      <c r="C42" s="38" t="s">
        <v>61</v>
      </c>
      <c r="D42" s="39">
        <v>16.0</v>
      </c>
    </row>
    <row r="43" ht="22.5" customHeight="1">
      <c r="A43" s="37" t="s">
        <v>64</v>
      </c>
      <c r="B43" s="38" t="s">
        <v>18</v>
      </c>
      <c r="C43" s="38" t="s">
        <v>61</v>
      </c>
      <c r="D43" s="39">
        <v>8.0</v>
      </c>
    </row>
    <row r="44" ht="22.5" customHeight="1">
      <c r="A44" s="37" t="s">
        <v>65</v>
      </c>
      <c r="B44" s="38" t="s">
        <v>23</v>
      </c>
      <c r="C44" s="38" t="s">
        <v>61</v>
      </c>
      <c r="D44" s="39">
        <v>18.0</v>
      </c>
    </row>
    <row r="45" ht="22.5" customHeight="1">
      <c r="A45" s="37" t="s">
        <v>66</v>
      </c>
      <c r="B45" s="38" t="s">
        <v>23</v>
      </c>
      <c r="C45" s="38" t="s">
        <v>61</v>
      </c>
      <c r="D45" s="39">
        <v>5.0</v>
      </c>
    </row>
    <row r="46" ht="22.5" customHeight="1">
      <c r="A46" s="37" t="s">
        <v>67</v>
      </c>
      <c r="B46" s="38" t="s">
        <v>26</v>
      </c>
      <c r="C46" s="38" t="s">
        <v>61</v>
      </c>
      <c r="D46" s="39">
        <v>16.0</v>
      </c>
    </row>
    <row r="47" ht="22.5" customHeight="1">
      <c r="A47" s="37" t="s">
        <v>68</v>
      </c>
      <c r="B47" s="38" t="s">
        <v>26</v>
      </c>
      <c r="C47" s="38" t="s">
        <v>61</v>
      </c>
      <c r="D47" s="39">
        <v>17.0</v>
      </c>
    </row>
    <row r="48" ht="22.5" customHeight="1">
      <c r="A48" s="37" t="s">
        <v>69</v>
      </c>
      <c r="B48" s="38" t="s">
        <v>23</v>
      </c>
      <c r="C48" s="38" t="s">
        <v>61</v>
      </c>
      <c r="D48" s="39">
        <v>35.0</v>
      </c>
    </row>
    <row r="49" ht="22.5" customHeight="1">
      <c r="A49" s="40" t="s">
        <v>70</v>
      </c>
      <c r="B49" s="41" t="s">
        <v>15</v>
      </c>
      <c r="C49" s="41" t="s">
        <v>71</v>
      </c>
      <c r="D49" s="42">
        <v>11.0</v>
      </c>
    </row>
    <row r="50" ht="22.5" customHeight="1">
      <c r="A50" s="43" t="s">
        <v>72</v>
      </c>
      <c r="B50" s="44" t="s">
        <v>18</v>
      </c>
      <c r="C50" s="44" t="s">
        <v>71</v>
      </c>
      <c r="D50" s="45">
        <v>5.0</v>
      </c>
    </row>
    <row r="51" ht="22.5" customHeight="1">
      <c r="A51" s="43" t="s">
        <v>73</v>
      </c>
      <c r="B51" s="44" t="s">
        <v>18</v>
      </c>
      <c r="C51" s="44" t="s">
        <v>71</v>
      </c>
      <c r="D51" s="45">
        <v>17.0</v>
      </c>
    </row>
    <row r="52" ht="22.5" customHeight="1">
      <c r="A52" s="43" t="s">
        <v>74</v>
      </c>
      <c r="B52" s="44" t="s">
        <v>18</v>
      </c>
      <c r="C52" s="44" t="s">
        <v>71</v>
      </c>
      <c r="D52" s="45">
        <v>7.0</v>
      </c>
    </row>
    <row r="53" ht="22.5" customHeight="1">
      <c r="A53" s="43" t="s">
        <v>75</v>
      </c>
      <c r="B53" s="44" t="s">
        <v>18</v>
      </c>
      <c r="C53" s="44" t="s">
        <v>71</v>
      </c>
      <c r="D53" s="45">
        <v>9.0</v>
      </c>
    </row>
    <row r="54" ht="22.5" customHeight="1">
      <c r="A54" s="43" t="s">
        <v>76</v>
      </c>
      <c r="B54" s="44" t="s">
        <v>23</v>
      </c>
      <c r="C54" s="44" t="s">
        <v>71</v>
      </c>
      <c r="D54" s="45">
        <v>17.0</v>
      </c>
    </row>
    <row r="55" ht="22.5" customHeight="1">
      <c r="A55" s="43" t="s">
        <v>77</v>
      </c>
      <c r="B55" s="44" t="s">
        <v>23</v>
      </c>
      <c r="C55" s="44" t="s">
        <v>71</v>
      </c>
      <c r="D55" s="45">
        <v>23.0</v>
      </c>
    </row>
    <row r="56" ht="22.5" customHeight="1">
      <c r="A56" s="43" t="s">
        <v>78</v>
      </c>
      <c r="B56" s="44" t="s">
        <v>23</v>
      </c>
      <c r="C56" s="44" t="s">
        <v>71</v>
      </c>
      <c r="D56" s="45">
        <v>17.0</v>
      </c>
    </row>
    <row r="57" ht="22.5" customHeight="1">
      <c r="A57" s="43" t="s">
        <v>79</v>
      </c>
      <c r="B57" s="44" t="s">
        <v>26</v>
      </c>
      <c r="C57" s="44" t="s">
        <v>71</v>
      </c>
      <c r="D57" s="45">
        <v>15.0</v>
      </c>
    </row>
    <row r="58" ht="22.5" customHeight="1">
      <c r="A58" s="43" t="s">
        <v>80</v>
      </c>
      <c r="B58" s="44" t="s">
        <v>26</v>
      </c>
      <c r="C58" s="44" t="s">
        <v>71</v>
      </c>
      <c r="D58" s="45">
        <v>20.0</v>
      </c>
    </row>
  </sheetData>
  <dataValidations>
    <dataValidation type="list" allowBlank="1" showDropDown="1" showErrorMessage="1" sqref="C2:C58">
      <formula1>"Trogloditi,Wild Boys,Real MyDrip,Imperial Seven,Marlboro Goal,Sangu FC"</formula1>
    </dataValidation>
    <dataValidation type="list" allowBlank="1" showDropDown="1" showErrorMessage="1" sqref="B2:B58">
      <formula1>"Portiere,Difensore,Centrocampista,Attaccante"</formula1>
    </dataValidation>
    <dataValidation type="custom" allowBlank="1" showDropDown="1" sqref="D2:D58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46" t="s">
        <v>81</v>
      </c>
    </row>
    <row r="2">
      <c r="A2" s="47" t="str">
        <f>IFERROR(__xludf.DUMMYFUNCTION("ARRAYFORMULA(
  FILTER(DB_Giocatori!A2:A1000, DB_Giocatori!B2:B1000 = ""Portiere"") &amp; 
  "" ("" &amp; 
  FILTER(DB_Giocatori!D2:D1000, DB_Giocatori!B2:B1000 = ""Portiere"") &amp; 
  "")""
)"),"Matia Shehu (5)")</f>
        <v>Matia Shehu (5)</v>
      </c>
    </row>
    <row r="3">
      <c r="A3" s="48" t="str">
        <f>IFERROR(__xludf.DUMMYFUNCTION("""COMPUTED_VALUE"""),"Pierluigi De Marco (9)")</f>
        <v>Pierluigi De Marco (9)</v>
      </c>
    </row>
    <row r="4">
      <c r="A4" s="48" t="str">
        <f>IFERROR(__xludf.DUMMYFUNCTION("""COMPUTED_VALUE"""),"Vincenzo Russo (13)")</f>
        <v>Vincenzo Russo (13)</v>
      </c>
    </row>
    <row r="5">
      <c r="A5" s="48" t="str">
        <f>IFERROR(__xludf.DUMMYFUNCTION("""COMPUTED_VALUE"""),"Alessandro Guerra (10)")</f>
        <v>Alessandro Guerra (10)</v>
      </c>
    </row>
    <row r="6">
      <c r="A6" s="48" t="str">
        <f>IFERROR(__xludf.DUMMYFUNCTION("""COMPUTED_VALUE"""),"Gabriele Maci (12)")</f>
        <v>Gabriele Maci (12)</v>
      </c>
    </row>
    <row r="7">
      <c r="A7" s="48" t="str">
        <f>IFERROR(__xludf.DUMMYFUNCTION("""COMPUTED_VALUE"""),"Pasquale Iannelli (11)")</f>
        <v>Pasquale Iannelli (11)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46" t="s">
        <v>81</v>
      </c>
    </row>
    <row r="2">
      <c r="A2" s="49" t="str">
        <f>IFERROR(__xludf.DUMMYFUNCTION("ARRAYFORMULA(
  FILTER(DB_Giocatori!A2:A1000, DB_Giocatori!B2:B1000 = ""Difensore"") &amp; 
  "" ("" &amp; 
  FILTER(DB_Giocatori!D2:D1000, DB_Giocatori!B2:B1000 = ""Difensore"") &amp; 
  "")""
)"),"Luca Padovano (10)")</f>
        <v>Luca Padovano (10)</v>
      </c>
      <c r="B2" s="50"/>
      <c r="C2" s="51"/>
    </row>
    <row r="3">
      <c r="A3" s="52" t="str">
        <f>IFERROR(__xludf.DUMMYFUNCTION("""COMPUTED_VALUE"""),"Stefano Vidali (10)")</f>
        <v>Stefano Vidali (10)</v>
      </c>
      <c r="B3" s="53"/>
      <c r="C3" s="51"/>
    </row>
    <row r="4">
      <c r="A4" s="54" t="str">
        <f>IFERROR(__xludf.DUMMYFUNCTION("""COMPUTED_VALUE"""),"Andrea Capuzzolo (10)")</f>
        <v>Andrea Capuzzolo (10)</v>
      </c>
      <c r="B4" s="50"/>
      <c r="C4" s="51"/>
    </row>
    <row r="5">
      <c r="A5" s="52" t="str">
        <f>IFERROR(__xludf.DUMMYFUNCTION("""COMPUTED_VALUE"""),"Francesco Albanese (10)")</f>
        <v>Francesco Albanese (10)</v>
      </c>
      <c r="B5" s="53"/>
    </row>
    <row r="6">
      <c r="A6" s="54" t="str">
        <f>IFERROR(__xludf.DUMMYFUNCTION("""COMPUTED_VALUE"""),"Andrea Fundone (12)")</f>
        <v>Andrea Fundone (12)</v>
      </c>
      <c r="B6" s="50"/>
    </row>
    <row r="7">
      <c r="A7" s="52" t="str">
        <f>IFERROR(__xludf.DUMMYFUNCTION("""COMPUTED_VALUE"""),"Michele Scoppio (5)")</f>
        <v>Michele Scoppio (5)</v>
      </c>
      <c r="B7" s="53"/>
    </row>
    <row r="8">
      <c r="A8" s="48" t="str">
        <f>IFERROR(__xludf.DUMMYFUNCTION("""COMPUTED_VALUE"""),"Luigi Vaira (5)")</f>
        <v>Luigi Vaira (5)</v>
      </c>
    </row>
    <row r="9">
      <c r="A9" s="48" t="str">
        <f>IFERROR(__xludf.DUMMYFUNCTION("""COMPUTED_VALUE"""),"Fabrizio Lorini (6)")</f>
        <v>Fabrizio Lorini (6)</v>
      </c>
    </row>
    <row r="10">
      <c r="A10" s="48" t="str">
        <f>IFERROR(__xludf.DUMMYFUNCTION("""COMPUTED_VALUE"""),"Marco Accetta (16)")</f>
        <v>Marco Accetta (16)</v>
      </c>
    </row>
    <row r="11">
      <c r="A11" s="48" t="str">
        <f>IFERROR(__xludf.DUMMYFUNCTION("""COMPUTED_VALUE"""),"Stefano Di Lena (5)")</f>
        <v>Stefano Di Lena (5)</v>
      </c>
    </row>
    <row r="12">
      <c r="A12" s="48" t="str">
        <f>IFERROR(__xludf.DUMMYFUNCTION("""COMPUTED_VALUE"""),"Mario Mezzina (7)")</f>
        <v>Mario Mezzina (7)</v>
      </c>
    </row>
    <row r="13">
      <c r="A13" s="48" t="str">
        <f>IFERROR(__xludf.DUMMYFUNCTION("""COMPUTED_VALUE"""),"Luigi Daniele Barbone (10)")</f>
        <v>Luigi Daniele Barbone (10)</v>
      </c>
    </row>
    <row r="14">
      <c r="A14" s="48" t="str">
        <f>IFERROR(__xludf.DUMMYFUNCTION("""COMPUTED_VALUE"""),"Mario Rizzo (15)")</f>
        <v>Mario Rizzo (15)</v>
      </c>
    </row>
    <row r="15">
      <c r="A15" s="48" t="str">
        <f>IFERROR(__xludf.DUMMYFUNCTION("""COMPUTED_VALUE"""),"Fabiano Tafaro (15)")</f>
        <v>Fabiano Tafaro (15)</v>
      </c>
    </row>
    <row r="16">
      <c r="A16" s="48" t="str">
        <f>IFERROR(__xludf.DUMMYFUNCTION("""COMPUTED_VALUE"""),"Gabriele Ferrandino (20)")</f>
        <v>Gabriele Ferrandino (20)</v>
      </c>
    </row>
    <row r="17">
      <c r="A17" s="48" t="str">
        <f>IFERROR(__xludf.DUMMYFUNCTION("""COMPUTED_VALUE"""),"Gianluca Audiello (5)")</f>
        <v>Gianluca Audiello (5)</v>
      </c>
    </row>
    <row r="18">
      <c r="A18" s="48" t="str">
        <f>IFERROR(__xludf.DUMMYFUNCTION("""COMPUTED_VALUE"""),"Cataldo Sapio (16)")</f>
        <v>Cataldo Sapio (16)</v>
      </c>
    </row>
    <row r="19">
      <c r="A19" s="48" t="str">
        <f>IFERROR(__xludf.DUMMYFUNCTION("""COMPUTED_VALUE"""),"Giuseppe Pepe (8)")</f>
        <v>Giuseppe Pepe (8)</v>
      </c>
    </row>
    <row r="20">
      <c r="A20" s="48" t="str">
        <f>IFERROR(__xludf.DUMMYFUNCTION("""COMPUTED_VALUE"""),"Giovanni Corso (5)")</f>
        <v>Giovanni Corso (5)</v>
      </c>
    </row>
    <row r="21">
      <c r="A21" s="48" t="str">
        <f>IFERROR(__xludf.DUMMYFUNCTION("""COMPUTED_VALUE"""),"Matteo Daniele (17)")</f>
        <v>Matteo Daniele (17)</v>
      </c>
    </row>
    <row r="22">
      <c r="A22" s="48" t="str">
        <f>IFERROR(__xludf.DUMMYFUNCTION("""COMPUTED_VALUE"""),"Gabriele Pedacchio (7)")</f>
        <v>Gabriele Pedacchio (7)</v>
      </c>
    </row>
    <row r="23">
      <c r="A23" s="48" t="str">
        <f>IFERROR(__xludf.DUMMYFUNCTION("""COMPUTED_VALUE"""),"Gerardo Valerio Teutonico (9)")</f>
        <v>Gerardo Valerio Teutonico (9)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46" t="s">
        <v>81</v>
      </c>
    </row>
    <row r="2">
      <c r="A2" s="48" t="str">
        <f>IFERROR(__xludf.DUMMYFUNCTION("ARRAYFORMULA(
  FILTER(DB_Giocatori!A2:A1000, DB_Giocatori!B2:B1000 = ""Centrocampista"") &amp; 
  "" ("" &amp; 
  FILTER(DB_Giocatori!D2:D1000, DB_Giocatori!B2:B1000 = ""Centrocampista"") &amp; 
  "")""
)"),"Gianluca Chiappinelli (25)")</f>
        <v>Gianluca Chiappinelli (25)</v>
      </c>
    </row>
    <row r="3">
      <c r="A3" s="48" t="str">
        <f>IFERROR(__xludf.DUMMYFUNCTION("""COMPUTED_VALUE"""),"Francesco Santamaria (19)")</f>
        <v>Francesco Santamaria (19)</v>
      </c>
    </row>
    <row r="4">
      <c r="A4" s="48" t="str">
        <f>IFERROR(__xludf.DUMMYFUNCTION("""COMPUTED_VALUE"""),"Marco Amodio (16)")</f>
        <v>Marco Amodio (16)</v>
      </c>
    </row>
    <row r="5">
      <c r="A5" s="48" t="str">
        <f>IFERROR(__xludf.DUMMYFUNCTION("""COMPUTED_VALUE"""),"Alessandro del Giudice (15)")</f>
        <v>Alessandro del Giudice (15)</v>
      </c>
    </row>
    <row r="6">
      <c r="A6" s="48" t="str">
        <f>IFERROR(__xludf.DUMMYFUNCTION("""COMPUTED_VALUE"""),"Lorenzo Milfa (26)")</f>
        <v>Lorenzo Milfa (26)</v>
      </c>
    </row>
    <row r="7">
      <c r="A7" s="48" t="str">
        <f>IFERROR(__xludf.DUMMYFUNCTION("""COMPUTED_VALUE"""),"Domenico Jr. Centrone (22)")</f>
        <v>Domenico Jr. Centrone (22)</v>
      </c>
    </row>
    <row r="8">
      <c r="A8" s="48" t="str">
        <f>IFERROR(__xludf.DUMMYFUNCTION("""COMPUTED_VALUE"""),"Alessandro Solazzo (24)")</f>
        <v>Alessandro Solazzo (24)</v>
      </c>
    </row>
    <row r="9">
      <c r="A9" s="48" t="str">
        <f>IFERROR(__xludf.DUMMYFUNCTION("""COMPUTED_VALUE"""),"Giovanni Meuli (16)")</f>
        <v>Giovanni Meuli (16)</v>
      </c>
    </row>
    <row r="10">
      <c r="A10" s="48" t="str">
        <f>IFERROR(__xludf.DUMMYFUNCTION("""COMPUTED_VALUE"""),"Antonio Iasiello (16)")</f>
        <v>Antonio Iasiello (16)</v>
      </c>
    </row>
    <row r="11">
      <c r="A11" s="48" t="str">
        <f>IFERROR(__xludf.DUMMYFUNCTION("""COMPUTED_VALUE"""),"Matteo Sembenini (10)")</f>
        <v>Matteo Sembenini (10)</v>
      </c>
    </row>
    <row r="12">
      <c r="A12" s="48" t="str">
        <f>IFERROR(__xludf.DUMMYFUNCTION("""COMPUTED_VALUE"""),"JJ Zigrino (25)")</f>
        <v>JJ Zigrino (25)</v>
      </c>
    </row>
    <row r="13">
      <c r="A13" s="48" t="str">
        <f>IFERROR(__xludf.DUMMYFUNCTION("""COMPUTED_VALUE"""),"Marco Montrano (18)")</f>
        <v>Marco Montrano (18)</v>
      </c>
    </row>
    <row r="14">
      <c r="A14" s="48" t="str">
        <f>IFERROR(__xludf.DUMMYFUNCTION("""COMPUTED_VALUE"""),"Riccardo Roscica (5)")</f>
        <v>Riccardo Roscica (5)</v>
      </c>
    </row>
    <row r="15">
      <c r="A15" s="48" t="str">
        <f>IFERROR(__xludf.DUMMYFUNCTION("""COMPUTED_VALUE"""),"Michele Ventola (35)")</f>
        <v>Michele Ventola (35)</v>
      </c>
    </row>
    <row r="16">
      <c r="A16" s="48" t="str">
        <f>IFERROR(__xludf.DUMMYFUNCTION("""COMPUTED_VALUE"""),"Daniel Sandu (17)")</f>
        <v>Daniel Sandu (17)</v>
      </c>
    </row>
    <row r="17">
      <c r="A17" s="48" t="str">
        <f>IFERROR(__xludf.DUMMYFUNCTION("""COMPUTED_VALUE"""),"Mattia Ieva (23)")</f>
        <v>Mattia Ieva (23)</v>
      </c>
    </row>
    <row r="18">
      <c r="A18" s="48" t="str">
        <f>IFERROR(__xludf.DUMMYFUNCTION("""COMPUTED_VALUE"""),"Dylan Todisco (17)")</f>
        <v>Dylan Todisco (17)</v>
      </c>
    </row>
    <row r="19">
      <c r="A19" s="48"/>
    </row>
    <row r="20">
      <c r="A20" s="48"/>
    </row>
    <row r="21">
      <c r="A21" s="48"/>
    </row>
    <row r="22">
      <c r="A22" s="48"/>
    </row>
    <row r="23">
      <c r="A23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5.63"/>
  </cols>
  <sheetData>
    <row r="1">
      <c r="A1" s="55" t="s">
        <v>10</v>
      </c>
    </row>
    <row r="2">
      <c r="A2" s="56" t="str">
        <f>IFERROR(__xludf.DUMMYFUNCTION("ARRAYFORMULA(
  FILTER(DB_Giocatori!A2:A1000, DB_Giocatori!B2:B1000 = ""Attaccante"") &amp; 
  "" ("" &amp; 
  FILTER(DB_Giocatori!D2:D1000, DB_Giocatori!B2:B1000 = ""Attaccante"") &amp; 
  "")""
)"),"Raffaele Guerra (21)")</f>
        <v>Raffaele Guerra (21)</v>
      </c>
      <c r="B2" s="57"/>
      <c r="C2" s="58"/>
    </row>
    <row r="3">
      <c r="A3" s="59" t="str">
        <f>IFERROR(__xludf.DUMMYFUNCTION("""COMPUTED_VALUE"""),"Mattia Mavelli (15)")</f>
        <v>Mattia Mavelli (15)</v>
      </c>
      <c r="B3" s="57"/>
      <c r="C3" s="58"/>
    </row>
    <row r="4">
      <c r="A4" s="57" t="str">
        <f>IFERROR(__xludf.DUMMYFUNCTION("""COMPUTED_VALUE"""),"Carlo Basile (10)")</f>
        <v>Carlo Basile (10)</v>
      </c>
      <c r="B4" s="57"/>
      <c r="C4" s="58"/>
    </row>
    <row r="5">
      <c r="A5" s="48" t="str">
        <f>IFERROR(__xludf.DUMMYFUNCTION("""COMPUTED_VALUE"""),"Lorenzo Gentile (35)")</f>
        <v>Lorenzo Gentile (35)</v>
      </c>
    </row>
    <row r="6">
      <c r="A6" s="48" t="str">
        <f>IFERROR(__xludf.DUMMYFUNCTION("""COMPUTED_VALUE"""),"Manuel Flores (30)")</f>
        <v>Manuel Flores (30)</v>
      </c>
    </row>
    <row r="7">
      <c r="A7" s="48" t="str">
        <f>IFERROR(__xludf.DUMMYFUNCTION("""COMPUTED_VALUE"""),"Mauro Origlia (10)")</f>
        <v>Mauro Origlia (10)</v>
      </c>
    </row>
    <row r="8">
      <c r="A8" s="48" t="str">
        <f>IFERROR(__xludf.DUMMYFUNCTION("""COMPUTED_VALUE"""),"Flavio Carbone (27)")</f>
        <v>Flavio Carbone (27)</v>
      </c>
    </row>
    <row r="9">
      <c r="A9" s="48" t="str">
        <f>IFERROR(__xludf.DUMMYFUNCTION("""COMPUTED_VALUE"""),"Antonio Fuzio (19)")</f>
        <v>Antonio Fuzio (19)</v>
      </c>
    </row>
    <row r="10">
      <c r="A10" s="48" t="str">
        <f>IFERROR(__xludf.DUMMYFUNCTION("""COMPUTED_VALUE"""),"Adriano Pio Darcangelo (16)")</f>
        <v>Adriano Pio Darcangelo (16)</v>
      </c>
    </row>
    <row r="11">
      <c r="A11" s="48" t="str">
        <f>IFERROR(__xludf.DUMMYFUNCTION("""COMPUTED_VALUE"""),"Cosimo D'Onghia (17)")</f>
        <v>Cosimo D'Onghia (17)</v>
      </c>
    </row>
    <row r="12">
      <c r="A12" s="48" t="str">
        <f>IFERROR(__xludf.DUMMYFUNCTION("""COMPUTED_VALUE"""),"Angelo Anatilopan (15)")</f>
        <v>Angelo Anatilopan (15)</v>
      </c>
    </row>
    <row r="13">
      <c r="A13" s="48" t="str">
        <f>IFERROR(__xludf.DUMMYFUNCTION("""COMPUTED_VALUE"""),"Mattia Pandolfi (20)")</f>
        <v>Mattia Pandolfi (20)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4.25"/>
    <col customWidth="1" min="3" max="3" width="15.25"/>
    <col customWidth="1" min="7" max="7" width="17.5"/>
    <col customWidth="1" min="8" max="8" width="17.88"/>
    <col customWidth="1" min="9" max="9" width="17.75"/>
    <col customWidth="1" min="11" max="11" width="16.0"/>
    <col customWidth="1" min="12" max="12" width="18.25"/>
    <col customWidth="1" min="13" max="13" width="13.75"/>
  </cols>
  <sheetData>
    <row r="1" ht="22.5" customHeight="1">
      <c r="A1" s="60" t="s">
        <v>10</v>
      </c>
      <c r="B1" s="60" t="s">
        <v>82</v>
      </c>
      <c r="C1" s="60" t="s">
        <v>83</v>
      </c>
      <c r="D1" s="60" t="s">
        <v>84</v>
      </c>
      <c r="E1" s="60" t="s">
        <v>85</v>
      </c>
      <c r="F1" s="60" t="s">
        <v>86</v>
      </c>
      <c r="G1" s="60" t="s">
        <v>87</v>
      </c>
      <c r="H1" s="60" t="s">
        <v>88</v>
      </c>
      <c r="I1" s="60" t="s">
        <v>89</v>
      </c>
      <c r="J1" s="8" t="s">
        <v>90</v>
      </c>
      <c r="K1" s="8" t="s">
        <v>91</v>
      </c>
      <c r="L1" s="8" t="s">
        <v>92</v>
      </c>
      <c r="M1" s="8" t="s">
        <v>93</v>
      </c>
    </row>
    <row r="2" ht="22.5" customHeight="1">
      <c r="A2" s="61" t="str">
        <f>IFERROR(__xludf.DUMMYFUNCTION("QUERY(DB_Giocatori!A2:A1000, ""SELECT A WHERE A IS NOT NULL"")"),"Matia Shehu")</f>
        <v>Matia Shehu</v>
      </c>
      <c r="B2" s="62"/>
      <c r="C2" s="62"/>
      <c r="D2" s="62"/>
      <c r="E2" s="62"/>
      <c r="F2" s="62"/>
      <c r="G2" s="62"/>
      <c r="H2" s="62"/>
      <c r="I2" s="62"/>
    </row>
    <row r="3" ht="22.5" customHeight="1">
      <c r="A3" s="61" t="str">
        <f>IFERROR(__xludf.DUMMYFUNCTION("""COMPUTED_VALUE"""),"Luca Padovano")</f>
        <v>Luca Padovano</v>
      </c>
      <c r="B3" s="62"/>
      <c r="C3" s="62"/>
      <c r="D3" s="62"/>
      <c r="E3" s="62"/>
      <c r="F3" s="62"/>
      <c r="G3" s="62"/>
      <c r="H3" s="62"/>
      <c r="I3" s="62"/>
    </row>
    <row r="4" ht="22.5" customHeight="1">
      <c r="A4" s="63" t="str">
        <f>IFERROR(__xludf.DUMMYFUNCTION("""COMPUTED_VALUE"""),"Stefano Vidali")</f>
        <v>Stefano Vidali</v>
      </c>
      <c r="B4" s="62"/>
      <c r="C4" s="62"/>
      <c r="D4" s="62"/>
      <c r="E4" s="62"/>
      <c r="F4" s="62"/>
      <c r="G4" s="62"/>
      <c r="H4" s="62"/>
      <c r="I4" s="62"/>
      <c r="J4" s="62"/>
    </row>
    <row r="5" ht="22.5" customHeight="1">
      <c r="A5" s="63" t="str">
        <f>IFERROR(__xludf.DUMMYFUNCTION("""COMPUTED_VALUE"""),"Andrea Capuzzolo")</f>
        <v>Andrea Capuzzolo</v>
      </c>
    </row>
    <row r="6" ht="22.5" customHeight="1">
      <c r="A6" s="63" t="str">
        <f>IFERROR(__xludf.DUMMYFUNCTION("""COMPUTED_VALUE"""),"Francesco Albanese")</f>
        <v>Francesco Albanese</v>
      </c>
    </row>
    <row r="7" ht="22.5" customHeight="1">
      <c r="A7" s="63" t="str">
        <f>IFERROR(__xludf.DUMMYFUNCTION("""COMPUTED_VALUE"""),"Gianluca Chiappinelli")</f>
        <v>Gianluca Chiappinelli</v>
      </c>
    </row>
    <row r="8" ht="22.5" customHeight="1">
      <c r="A8" s="63" t="str">
        <f>IFERROR(__xludf.DUMMYFUNCTION("""COMPUTED_VALUE"""),"Francesco Santamaria")</f>
        <v>Francesco Santamaria</v>
      </c>
    </row>
    <row r="9" ht="22.5" customHeight="1">
      <c r="A9" s="63" t="str">
        <f>IFERROR(__xludf.DUMMYFUNCTION("""COMPUTED_VALUE"""),"Raffaele Guerra")</f>
        <v>Raffaele Guerra</v>
      </c>
    </row>
    <row r="10" ht="22.5" customHeight="1">
      <c r="A10" s="63" t="str">
        <f>IFERROR(__xludf.DUMMYFUNCTION("""COMPUTED_VALUE"""),"Marco Amodio")</f>
        <v>Marco Amodio</v>
      </c>
    </row>
    <row r="11" ht="22.5" customHeight="1">
      <c r="A11" s="63" t="str">
        <f>IFERROR(__xludf.DUMMYFUNCTION("""COMPUTED_VALUE"""),"Mattia Mavelli")</f>
        <v>Mattia Mavelli</v>
      </c>
    </row>
    <row r="12" ht="22.5" customHeight="1">
      <c r="A12" s="7" t="str">
        <f>IFERROR(__xludf.DUMMYFUNCTION("""COMPUTED_VALUE"""),"Pierluigi De Marco")</f>
        <v>Pierluigi De Marco</v>
      </c>
    </row>
    <row r="13" ht="22.5" customHeight="1">
      <c r="A13" s="7" t="str">
        <f>IFERROR(__xludf.DUMMYFUNCTION("""COMPUTED_VALUE"""),"Andrea Fundone")</f>
        <v>Andrea Fundone</v>
      </c>
    </row>
    <row r="14" ht="22.5" customHeight="1">
      <c r="A14" s="7" t="str">
        <f>IFERROR(__xludf.DUMMYFUNCTION("""COMPUTED_VALUE"""),"Michele Scoppio")</f>
        <v>Michele Scoppio</v>
      </c>
    </row>
    <row r="15" ht="22.5" customHeight="1">
      <c r="A15" s="7" t="str">
        <f>IFERROR(__xludf.DUMMYFUNCTION("""COMPUTED_VALUE"""),"Luigi Vaira")</f>
        <v>Luigi Vaira</v>
      </c>
    </row>
    <row r="16" ht="22.5" customHeight="1">
      <c r="A16" s="7" t="str">
        <f>IFERROR(__xludf.DUMMYFUNCTION("""COMPUTED_VALUE"""),"Fabrizio Lorini")</f>
        <v>Fabrizio Lorini</v>
      </c>
    </row>
    <row r="17" ht="22.5" customHeight="1">
      <c r="A17" s="7" t="str">
        <f>IFERROR(__xludf.DUMMYFUNCTION("""COMPUTED_VALUE"""),"Alessandro del Giudice")</f>
        <v>Alessandro del Giudice</v>
      </c>
    </row>
    <row r="18" ht="22.5" customHeight="1">
      <c r="A18" s="7" t="str">
        <f>IFERROR(__xludf.DUMMYFUNCTION("""COMPUTED_VALUE"""),"Lorenzo Milfa")</f>
        <v>Lorenzo Milfa</v>
      </c>
    </row>
    <row r="19" ht="22.5" customHeight="1">
      <c r="A19" s="7" t="str">
        <f>IFERROR(__xludf.DUMMYFUNCTION("""COMPUTED_VALUE"""),"Domenico Jr. Centrone")</f>
        <v>Domenico Jr. Centrone</v>
      </c>
    </row>
    <row r="20" ht="22.5" customHeight="1">
      <c r="A20" s="7" t="str">
        <f>IFERROR(__xludf.DUMMYFUNCTION("""COMPUTED_VALUE"""),"Carlo Basile")</f>
        <v>Carlo Basile</v>
      </c>
    </row>
    <row r="21" ht="22.5" customHeight="1">
      <c r="A21" s="7" t="str">
        <f>IFERROR(__xludf.DUMMYFUNCTION("""COMPUTED_VALUE"""),"Lorenzo Gentile")</f>
        <v>Lorenzo Gentile</v>
      </c>
    </row>
    <row r="22" ht="22.5" customHeight="1">
      <c r="A22" s="64" t="str">
        <f>IFERROR(__xludf.DUMMYFUNCTION("""COMPUTED_VALUE"""),"Vincenzo Russo")</f>
        <v>Vincenzo Russo</v>
      </c>
    </row>
    <row r="23" ht="22.5" customHeight="1">
      <c r="A23" s="64" t="str">
        <f>IFERROR(__xludf.DUMMYFUNCTION("""COMPUTED_VALUE"""),"Marco Accetta")</f>
        <v>Marco Accetta</v>
      </c>
    </row>
    <row r="24" ht="22.5" customHeight="1">
      <c r="A24" s="64" t="str">
        <f>IFERROR(__xludf.DUMMYFUNCTION("""COMPUTED_VALUE"""),"Stefano Di Lena")</f>
        <v>Stefano Di Lena</v>
      </c>
    </row>
    <row r="25" ht="22.5" customHeight="1">
      <c r="A25" s="64" t="str">
        <f>IFERROR(__xludf.DUMMYFUNCTION("""COMPUTED_VALUE"""),"Mario Mezzina")</f>
        <v>Mario Mezzina</v>
      </c>
    </row>
    <row r="26" ht="22.5" customHeight="1">
      <c r="A26" s="64" t="str">
        <f>IFERROR(__xludf.DUMMYFUNCTION("""COMPUTED_VALUE"""),"Alessandro Solazzo")</f>
        <v>Alessandro Solazzo</v>
      </c>
    </row>
    <row r="27" ht="22.5" customHeight="1">
      <c r="A27" s="64" t="str">
        <f>IFERROR(__xludf.DUMMYFUNCTION("""COMPUTED_VALUE"""),"Giovanni Meuli")</f>
        <v>Giovanni Meuli</v>
      </c>
    </row>
    <row r="28" ht="22.5" customHeight="1">
      <c r="A28" s="64" t="str">
        <f>IFERROR(__xludf.DUMMYFUNCTION("""COMPUTED_VALUE"""),"Manuel Flores")</f>
        <v>Manuel Flores</v>
      </c>
    </row>
    <row r="29" ht="22.5" customHeight="1">
      <c r="A29" s="64" t="str">
        <f>IFERROR(__xludf.DUMMYFUNCTION("""COMPUTED_VALUE"""),"Mauro Origlia")</f>
        <v>Mauro Origlia</v>
      </c>
    </row>
    <row r="30" ht="22.5" customHeight="1">
      <c r="A30" s="64" t="str">
        <f>IFERROR(__xludf.DUMMYFUNCTION("""COMPUTED_VALUE"""),"Luigi Daniele Barbone")</f>
        <v>Luigi Daniele Barbone</v>
      </c>
    </row>
    <row r="31" ht="22.5" customHeight="1">
      <c r="A31" s="65" t="str">
        <f>IFERROR(__xludf.DUMMYFUNCTION("""COMPUTED_VALUE"""),"Alessandro Guerra")</f>
        <v>Alessandro Guerra</v>
      </c>
    </row>
    <row r="32" ht="22.5" customHeight="1">
      <c r="A32" s="65" t="str">
        <f>IFERROR(__xludf.DUMMYFUNCTION("""COMPUTED_VALUE"""),"Mario Rizzo")</f>
        <v>Mario Rizzo</v>
      </c>
    </row>
    <row r="33" ht="22.5" customHeight="1">
      <c r="A33" s="65" t="str">
        <f>IFERROR(__xludf.DUMMYFUNCTION("""COMPUTED_VALUE"""),"Fabiano Tafaro")</f>
        <v>Fabiano Tafaro</v>
      </c>
    </row>
    <row r="34" ht="22.5" customHeight="1">
      <c r="A34" s="65" t="str">
        <f>IFERROR(__xludf.DUMMYFUNCTION("""COMPUTED_VALUE"""),"Gabriele Ferrandino")</f>
        <v>Gabriele Ferrandino</v>
      </c>
    </row>
    <row r="35" ht="22.5" customHeight="1">
      <c r="A35" s="65" t="str">
        <f>IFERROR(__xludf.DUMMYFUNCTION("""COMPUTED_VALUE"""),"Antonio Iasiello")</f>
        <v>Antonio Iasiello</v>
      </c>
    </row>
    <row r="36" ht="22.5" customHeight="1">
      <c r="A36" s="65" t="str">
        <f>IFERROR(__xludf.DUMMYFUNCTION("""COMPUTED_VALUE"""),"Matteo Sembenini")</f>
        <v>Matteo Sembenini</v>
      </c>
    </row>
    <row r="37" ht="22.5" customHeight="1">
      <c r="A37" s="65" t="str">
        <f>IFERROR(__xludf.DUMMYFUNCTION("""COMPUTED_VALUE"""),"Flavio Carbone")</f>
        <v>Flavio Carbone</v>
      </c>
    </row>
    <row r="38" ht="22.5" customHeight="1">
      <c r="A38" s="65" t="str">
        <f>IFERROR(__xludf.DUMMYFUNCTION("""COMPUTED_VALUE"""),"Antonio Fuzio")</f>
        <v>Antonio Fuzio</v>
      </c>
    </row>
    <row r="39" ht="22.5" customHeight="1">
      <c r="A39" s="65" t="str">
        <f>IFERROR(__xludf.DUMMYFUNCTION("""COMPUTED_VALUE"""),"JJ Zigrino")</f>
        <v>JJ Zigrino</v>
      </c>
    </row>
    <row r="40" ht="22.5" customHeight="1">
      <c r="A40" s="66" t="str">
        <f>IFERROR(__xludf.DUMMYFUNCTION("""COMPUTED_VALUE"""),"Gabriele Maci")</f>
        <v>Gabriele Maci</v>
      </c>
    </row>
    <row r="41" ht="22.5" customHeight="1">
      <c r="A41" s="66" t="str">
        <f>IFERROR(__xludf.DUMMYFUNCTION("""COMPUTED_VALUE"""),"Gianluca Audiello")</f>
        <v>Gianluca Audiello</v>
      </c>
    </row>
    <row r="42" ht="22.5" customHeight="1">
      <c r="A42" s="66" t="str">
        <f>IFERROR(__xludf.DUMMYFUNCTION("""COMPUTED_VALUE"""),"Cataldo Sapio")</f>
        <v>Cataldo Sapio</v>
      </c>
    </row>
    <row r="43" ht="22.5" customHeight="1">
      <c r="A43" s="66" t="str">
        <f>IFERROR(__xludf.DUMMYFUNCTION("""COMPUTED_VALUE"""),"Giuseppe Pepe")</f>
        <v>Giuseppe Pepe</v>
      </c>
    </row>
    <row r="44" ht="22.5" customHeight="1">
      <c r="A44" s="66" t="str">
        <f>IFERROR(__xludf.DUMMYFUNCTION("""COMPUTED_VALUE"""),"Marco Montrano")</f>
        <v>Marco Montrano</v>
      </c>
    </row>
    <row r="45" ht="22.5" customHeight="1">
      <c r="A45" s="66" t="str">
        <f>IFERROR(__xludf.DUMMYFUNCTION("""COMPUTED_VALUE"""),"Riccardo Roscica")</f>
        <v>Riccardo Roscica</v>
      </c>
    </row>
    <row r="46" ht="22.5" customHeight="1">
      <c r="A46" s="66" t="str">
        <f>IFERROR(__xludf.DUMMYFUNCTION("""COMPUTED_VALUE"""),"Adriano Pio Darcangelo")</f>
        <v>Adriano Pio Darcangelo</v>
      </c>
    </row>
    <row r="47" ht="22.5" customHeight="1">
      <c r="A47" s="66" t="str">
        <f>IFERROR(__xludf.DUMMYFUNCTION("""COMPUTED_VALUE"""),"Cosimo D'Onghia")</f>
        <v>Cosimo D'Onghia</v>
      </c>
    </row>
    <row r="48" ht="22.5" customHeight="1">
      <c r="A48" s="66" t="str">
        <f>IFERROR(__xludf.DUMMYFUNCTION("""COMPUTED_VALUE"""),"Michele Ventola")</f>
        <v>Michele Ventola</v>
      </c>
    </row>
    <row r="49" ht="22.5" customHeight="1">
      <c r="A49" s="67" t="str">
        <f>IFERROR(__xludf.DUMMYFUNCTION("""COMPUTED_VALUE"""),"Pasquale Iannelli")</f>
        <v>Pasquale Iannelli</v>
      </c>
    </row>
    <row r="50" ht="22.5" customHeight="1">
      <c r="A50" s="67" t="str">
        <f>IFERROR(__xludf.DUMMYFUNCTION("""COMPUTED_VALUE"""),"Giovanni Corso")</f>
        <v>Giovanni Corso</v>
      </c>
    </row>
    <row r="51" ht="22.5" customHeight="1">
      <c r="A51" s="67" t="str">
        <f>IFERROR(__xludf.DUMMYFUNCTION("""COMPUTED_VALUE"""),"Matteo Daniele")</f>
        <v>Matteo Daniele</v>
      </c>
    </row>
    <row r="52" ht="22.5" customHeight="1">
      <c r="A52" s="67" t="str">
        <f>IFERROR(__xludf.DUMMYFUNCTION("""COMPUTED_VALUE"""),"Gabriele Pedacchio")</f>
        <v>Gabriele Pedacchio</v>
      </c>
    </row>
    <row r="53" ht="22.5" customHeight="1">
      <c r="A53" s="67" t="str">
        <f>IFERROR(__xludf.DUMMYFUNCTION("""COMPUTED_VALUE"""),"Gerardo Valerio Teutonico")</f>
        <v>Gerardo Valerio Teutonico</v>
      </c>
    </row>
    <row r="54" ht="22.5" customHeight="1">
      <c r="A54" s="67" t="str">
        <f>IFERROR(__xludf.DUMMYFUNCTION("""COMPUTED_VALUE"""),"Daniel Sandu")</f>
        <v>Daniel Sandu</v>
      </c>
    </row>
    <row r="55" ht="22.5" customHeight="1">
      <c r="A55" s="67" t="str">
        <f>IFERROR(__xludf.DUMMYFUNCTION("""COMPUTED_VALUE"""),"Mattia Ieva")</f>
        <v>Mattia Ieva</v>
      </c>
    </row>
    <row r="56" ht="22.5" customHeight="1">
      <c r="A56" s="67" t="str">
        <f>IFERROR(__xludf.DUMMYFUNCTION("""COMPUTED_VALUE"""),"Dylan Todisco")</f>
        <v>Dylan Todisco</v>
      </c>
    </row>
    <row r="57" ht="22.5" customHeight="1">
      <c r="A57" s="67" t="str">
        <f>IFERROR(__xludf.DUMMYFUNCTION("""COMPUTED_VALUE"""),"Angelo Anatilopan")</f>
        <v>Angelo Anatilopan</v>
      </c>
    </row>
    <row r="58" ht="22.5" customHeight="1">
      <c r="A58" s="67" t="str">
        <f>IFERROR(__xludf.DUMMYFUNCTION("""COMPUTED_VALUE"""),"Mattia Pandolfi")</f>
        <v>Mattia Pandolfi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88"/>
    <col customWidth="1" min="3" max="3" width="13.13"/>
    <col customWidth="1" min="4" max="4" width="14.75"/>
    <col customWidth="1" min="5" max="5" width="8.5"/>
    <col customWidth="1" min="6" max="6" width="11.63"/>
    <col customWidth="1" min="7" max="7" width="44.0"/>
    <col customWidth="1" min="8" max="8" width="8.88"/>
    <col customWidth="1" min="9" max="9" width="8.5"/>
    <col customWidth="1" min="10" max="10" width="11.63"/>
    <col customWidth="1" min="11" max="11" width="44.0"/>
    <col customWidth="1" min="12" max="12" width="8.88"/>
    <col customWidth="1" min="15" max="15" width="44.0"/>
    <col customWidth="1" min="19" max="19" width="44.0"/>
  </cols>
  <sheetData/>
  <drawing r:id="rId1"/>
</worksheet>
</file>